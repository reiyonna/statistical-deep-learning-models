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yo\Downloads\"/>
    </mc:Choice>
  </mc:AlternateContent>
  <xr:revisionPtr revIDLastSave="0" documentId="13_ncr:1_{1EA7ED4B-56DA-4EC0-A1B7-2A2015CBB43A}" xr6:coauthVersionLast="47" xr6:coauthVersionMax="47" xr10:uidLastSave="{00000000-0000-0000-0000-000000000000}"/>
  <bookViews>
    <workbookView xWindow="-98" yWindow="-98" windowWidth="21795" windowHeight="12975" firstSheet="2" activeTab="4" xr2:uid="{922C1DD5-5A51-4CC9-BA3E-BDBBCE732B65}"/>
  </bookViews>
  <sheets>
    <sheet name="Gaussian Elimination" sheetId="1" r:id="rId1"/>
    <sheet name="Matrix Inverse" sheetId="2" r:id="rId2"/>
    <sheet name="Solution of Equation" sheetId="3" r:id="rId3"/>
    <sheet name="Gradient Descent" sheetId="4" r:id="rId4"/>
    <sheet name="Newton Optimization Method" sheetId="5" r:id="rId5"/>
    <sheet name="Sheet3" sheetId="6" r:id="rId6"/>
  </sheets>
  <definedNames>
    <definedName name="_xlchart.v1.0" hidden="1">'Newton Optimization Method'!$A$3:$A$9</definedName>
    <definedName name="_xlchart.v1.1" hidden="1">'Newton Optimization Method'!$B$3:$B$9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C3" i="6"/>
  <c r="B3" i="6"/>
  <c r="D3" i="6" s="1"/>
  <c r="A4" i="6" s="1"/>
  <c r="C3" i="5"/>
  <c r="B3" i="5"/>
  <c r="D3" i="5" s="1"/>
  <c r="A4" i="5" s="1"/>
  <c r="C49" i="4"/>
  <c r="C50" i="4"/>
  <c r="C51" i="4"/>
  <c r="C52" i="4"/>
  <c r="C53" i="4"/>
  <c r="C54" i="4"/>
  <c r="C55" i="4"/>
  <c r="C56" i="4"/>
  <c r="C57" i="4"/>
  <c r="C48" i="4"/>
  <c r="D48" i="4"/>
  <c r="A49" i="4" s="1"/>
  <c r="D49" i="4" s="1"/>
  <c r="D15" i="4"/>
  <c r="C16" i="4" s="1"/>
  <c r="A15" i="4"/>
  <c r="A16" i="4" s="1"/>
  <c r="B15" i="4"/>
  <c r="C2" i="4"/>
  <c r="B3" i="4" s="1"/>
  <c r="E8" i="3" a="1"/>
  <c r="E8" i="3" s="1"/>
  <c r="A8" i="3" a="1"/>
  <c r="A8" i="3" s="1"/>
  <c r="A27" i="2" a="1"/>
  <c r="A27" i="2" s="1"/>
  <c r="A23" i="2" a="1"/>
  <c r="A23" i="2" s="1"/>
  <c r="A24" i="2" a="1"/>
  <c r="A24" i="2" s="1"/>
  <c r="A20" i="2" a="1"/>
  <c r="A20" i="2" s="1"/>
  <c r="A17" i="2" a="1"/>
  <c r="A17" i="2" s="1"/>
  <c r="A13" i="2" a="1"/>
  <c r="A13" i="2" s="1"/>
  <c r="A12" i="2" a="1"/>
  <c r="A12" i="2" s="1"/>
  <c r="E3" i="2" a="1"/>
  <c r="E3" i="2" s="1"/>
  <c r="B13" i="1"/>
  <c r="B17" i="1" s="1"/>
  <c r="C13" i="1"/>
  <c r="C17" i="1" s="1"/>
  <c r="D13" i="1"/>
  <c r="D17" i="1" s="1"/>
  <c r="A13" i="1"/>
  <c r="A17" i="1" s="1"/>
  <c r="B12" i="1"/>
  <c r="C12" i="1"/>
  <c r="D12" i="1"/>
  <c r="A12" i="1"/>
  <c r="C4" i="6" l="1"/>
  <c r="B4" i="6"/>
  <c r="D4" i="6" s="1"/>
  <c r="A5" i="6" s="1"/>
  <c r="C4" i="5"/>
  <c r="B4" i="5"/>
  <c r="D4" i="5" s="1"/>
  <c r="A5" i="5" s="1"/>
  <c r="C5" i="5" s="1"/>
  <c r="A17" i="4"/>
  <c r="B16" i="4"/>
  <c r="A50" i="4"/>
  <c r="D50" i="4" s="1"/>
  <c r="D16" i="4"/>
  <c r="C17" i="4" s="1"/>
  <c r="C3" i="4"/>
  <c r="B4" i="4"/>
  <c r="C5" i="6" l="1"/>
  <c r="B5" i="6"/>
  <c r="D5" i="6" s="1"/>
  <c r="A6" i="6" s="1"/>
  <c r="B5" i="5"/>
  <c r="D5" i="5" s="1"/>
  <c r="A6" i="5" s="1"/>
  <c r="B6" i="5" s="1"/>
  <c r="A18" i="4"/>
  <c r="B17" i="4"/>
  <c r="A51" i="4"/>
  <c r="D51" i="4" s="1"/>
  <c r="D17" i="4"/>
  <c r="C18" i="4" s="1"/>
  <c r="C4" i="4"/>
  <c r="B5" i="4"/>
  <c r="C6" i="6" l="1"/>
  <c r="D6" i="6"/>
  <c r="A7" i="6" s="1"/>
  <c r="B7" i="6" s="1"/>
  <c r="C6" i="5"/>
  <c r="D6" i="5" s="1"/>
  <c r="A7" i="5" s="1"/>
  <c r="A19" i="4"/>
  <c r="B18" i="4"/>
  <c r="A52" i="4"/>
  <c r="D52" i="4" s="1"/>
  <c r="D18" i="4"/>
  <c r="C19" i="4" s="1"/>
  <c r="C5" i="4"/>
  <c r="B6" i="4"/>
  <c r="C7" i="6" l="1"/>
  <c r="D7" i="6"/>
  <c r="A8" i="6" s="1"/>
  <c r="B8" i="6" s="1"/>
  <c r="B7" i="5"/>
  <c r="C7" i="5"/>
  <c r="A20" i="4"/>
  <c r="B19" i="4"/>
  <c r="A53" i="4"/>
  <c r="D53" i="4" s="1"/>
  <c r="D19" i="4"/>
  <c r="C20" i="4" s="1"/>
  <c r="C6" i="4"/>
  <c r="B7" i="4"/>
  <c r="C8" i="6" l="1"/>
  <c r="D8" i="6"/>
  <c r="A9" i="6" s="1"/>
  <c r="B9" i="6" s="1"/>
  <c r="D7" i="5"/>
  <c r="A8" i="5" s="1"/>
  <c r="B8" i="5"/>
  <c r="C8" i="5"/>
  <c r="A21" i="4"/>
  <c r="B20" i="4"/>
  <c r="A54" i="4"/>
  <c r="D54" i="4" s="1"/>
  <c r="D20" i="4"/>
  <c r="C21" i="4" s="1"/>
  <c r="C7" i="4"/>
  <c r="B8" i="4"/>
  <c r="C9" i="6" l="1"/>
  <c r="D9" i="6"/>
  <c r="D8" i="5"/>
  <c r="A9" i="5" s="1"/>
  <c r="B9" i="5"/>
  <c r="C9" i="5"/>
  <c r="B21" i="4"/>
  <c r="A22" i="4"/>
  <c r="A55" i="4"/>
  <c r="D55" i="4" s="1"/>
  <c r="D21" i="4"/>
  <c r="C22" i="4" s="1"/>
  <c r="C8" i="4"/>
  <c r="B9" i="4"/>
  <c r="D9" i="5" l="1"/>
  <c r="A23" i="4"/>
  <c r="B22" i="4"/>
  <c r="A56" i="4"/>
  <c r="D56" i="4" s="1"/>
  <c r="D22" i="4"/>
  <c r="C23" i="4" s="1"/>
  <c r="C9" i="4"/>
  <c r="B10" i="4" s="1"/>
  <c r="B23" i="4" l="1"/>
  <c r="A24" i="4"/>
  <c r="A57" i="4"/>
  <c r="D57" i="4" s="1"/>
  <c r="D23" i="4"/>
  <c r="C24" i="4" s="1"/>
  <c r="D24" i="4" s="1"/>
  <c r="C10" i="4"/>
  <c r="B11" i="4"/>
  <c r="C11" i="4" s="1"/>
  <c r="B24" i="4" l="1"/>
  <c r="A25" i="4"/>
  <c r="A26" i="4" l="1"/>
  <c r="B25" i="4"/>
  <c r="A27" i="4" l="1"/>
  <c r="B26" i="4"/>
  <c r="A28" i="4" l="1"/>
  <c r="B27" i="4"/>
  <c r="A29" i="4" l="1"/>
  <c r="B28" i="4"/>
  <c r="A30" i="4" l="1"/>
  <c r="B29" i="4"/>
  <c r="A31" i="4" l="1"/>
  <c r="B30" i="4"/>
  <c r="A32" i="4" l="1"/>
  <c r="B31" i="4"/>
  <c r="A33" i="4" l="1"/>
  <c r="B32" i="4"/>
  <c r="A34" i="4" l="1"/>
  <c r="B33" i="4"/>
  <c r="B34" i="4" l="1"/>
  <c r="A35" i="4"/>
  <c r="A36" i="4" l="1"/>
  <c r="B35" i="4"/>
  <c r="A37" i="4" l="1"/>
  <c r="B36" i="4"/>
  <c r="A38" i="4" l="1"/>
  <c r="B37" i="4"/>
  <c r="A39" i="4" l="1"/>
  <c r="B38" i="4"/>
  <c r="A40" i="4" l="1"/>
  <c r="B39" i="4"/>
  <c r="A41" i="4" l="1"/>
  <c r="B40" i="4"/>
  <c r="A42" i="4" l="1"/>
  <c r="B41" i="4"/>
  <c r="A43" i="4" l="1"/>
  <c r="B42" i="4"/>
  <c r="A44" i="4" l="1"/>
  <c r="B43" i="4"/>
  <c r="B44" i="4" l="1"/>
  <c r="A45" i="4"/>
  <c r="B45" i="4" l="1"/>
  <c r="A46" i="4"/>
  <c r="A47" i="4" l="1"/>
  <c r="B47" i="4" s="1"/>
  <c r="B4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<sst xmlns="http://schemas.openxmlformats.org/spreadsheetml/2006/main" count="62" uniqueCount="37">
  <si>
    <t>a</t>
  </si>
  <si>
    <t>c</t>
  </si>
  <si>
    <t>b</t>
  </si>
  <si>
    <t xml:space="preserve">Right </t>
  </si>
  <si>
    <t>Left</t>
  </si>
  <si>
    <t>c=c+a</t>
  </si>
  <si>
    <t>b=b-2a</t>
  </si>
  <si>
    <t>c=c+b</t>
  </si>
  <si>
    <t>GAUSSIAN ELIMINATION</t>
  </si>
  <si>
    <t>U</t>
  </si>
  <si>
    <t>V</t>
  </si>
  <si>
    <t>W</t>
  </si>
  <si>
    <t>A</t>
  </si>
  <si>
    <t>A Inverse</t>
  </si>
  <si>
    <t>b=b/8</t>
  </si>
  <si>
    <t>b=b+2c</t>
  </si>
  <si>
    <t>a=a-b/8</t>
  </si>
  <si>
    <t>a=(a-c)/2</t>
  </si>
  <si>
    <t>X</t>
  </si>
  <si>
    <t>x1</t>
  </si>
  <si>
    <t>x2</t>
  </si>
  <si>
    <t>x3</t>
  </si>
  <si>
    <t>B</t>
  </si>
  <si>
    <r>
      <t>X= A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* B</t>
    </r>
  </si>
  <si>
    <t>Equations</t>
  </si>
  <si>
    <r>
      <t>2x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=1</t>
    </r>
  </si>
  <si>
    <r>
      <t>2x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+3x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=1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</si>
  <si>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=3</t>
    </r>
  </si>
  <si>
    <t>x</t>
  </si>
  <si>
    <t>y=x2</t>
  </si>
  <si>
    <t>y=x2-2</t>
  </si>
  <si>
    <t>f'(x)=2x</t>
  </si>
  <si>
    <t>LBFGS</t>
  </si>
  <si>
    <t>BFGS</t>
  </si>
  <si>
    <t>Quasi Newton</t>
  </si>
  <si>
    <t>Newton</t>
  </si>
  <si>
    <t>Jacobian and Hessian Matrices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</si>
</sst>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0" fillId="2" borderId="5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12" xfId="0" applyFill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 Descent'!$A$15:$A$57</c:f>
              <c:numCache>
                <c:formatCode>General</c:formatCode>
                <c:ptCount val="43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-1.4000000000000001</c:v>
                </c:pt>
                <c:pt idx="4">
                  <c:v>-1.2000000000000002</c:v>
                </c:pt>
                <c:pt idx="5">
                  <c:v>-1.0000000000000002</c:v>
                </c:pt>
                <c:pt idx="6">
                  <c:v>-0.80000000000000027</c:v>
                </c:pt>
                <c:pt idx="7">
                  <c:v>-0.60000000000000031</c:v>
                </c:pt>
                <c:pt idx="8">
                  <c:v>-0.4000000000000003</c:v>
                </c:pt>
                <c:pt idx="9">
                  <c:v>-0.20000000000000029</c:v>
                </c:pt>
                <c:pt idx="10">
                  <c:v>-2.7755575615628914E-16</c:v>
                </c:pt>
                <c:pt idx="11">
                  <c:v>0.19999999999999973</c:v>
                </c:pt>
                <c:pt idx="12">
                  <c:v>0.39999999999999974</c:v>
                </c:pt>
                <c:pt idx="13">
                  <c:v>0.59999999999999976</c:v>
                </c:pt>
                <c:pt idx="14">
                  <c:v>0.79999999999999982</c:v>
                </c:pt>
                <c:pt idx="15">
                  <c:v>0.99999999999999978</c:v>
                </c:pt>
                <c:pt idx="16">
                  <c:v>1.1999999999999997</c:v>
                </c:pt>
                <c:pt idx="17">
                  <c:v>1.3999999999999997</c:v>
                </c:pt>
                <c:pt idx="18">
                  <c:v>1.5999999999999996</c:v>
                </c:pt>
                <c:pt idx="19">
                  <c:v>1.7999999999999996</c:v>
                </c:pt>
                <c:pt idx="20">
                  <c:v>1.9999999999999996</c:v>
                </c:pt>
                <c:pt idx="21">
                  <c:v>2.1999999999999997</c:v>
                </c:pt>
                <c:pt idx="22">
                  <c:v>2.4</c:v>
                </c:pt>
                <c:pt idx="23">
                  <c:v>2.6</c:v>
                </c:pt>
                <c:pt idx="24">
                  <c:v>2.8000000000000003</c:v>
                </c:pt>
                <c:pt idx="25">
                  <c:v>3.0000000000000004</c:v>
                </c:pt>
                <c:pt idx="26">
                  <c:v>3.2000000000000006</c:v>
                </c:pt>
                <c:pt idx="27">
                  <c:v>3.4000000000000008</c:v>
                </c:pt>
                <c:pt idx="28">
                  <c:v>3.600000000000001</c:v>
                </c:pt>
                <c:pt idx="29">
                  <c:v>3.8000000000000012</c:v>
                </c:pt>
                <c:pt idx="30">
                  <c:v>4.0000000000000009</c:v>
                </c:pt>
                <c:pt idx="31">
                  <c:v>4.2000000000000011</c:v>
                </c:pt>
                <c:pt idx="32">
                  <c:v>4.4000000000000012</c:v>
                </c:pt>
                <c:pt idx="33">
                  <c:v>3</c:v>
                </c:pt>
                <c:pt idx="34">
                  <c:v>2.4</c:v>
                </c:pt>
                <c:pt idx="35">
                  <c:v>1.92</c:v>
                </c:pt>
                <c:pt idx="36">
                  <c:v>1.536</c:v>
                </c:pt>
                <c:pt idx="37">
                  <c:v>1.2288000000000001</c:v>
                </c:pt>
                <c:pt idx="38">
                  <c:v>0.98304000000000014</c:v>
                </c:pt>
                <c:pt idx="39">
                  <c:v>0.78643200000000013</c:v>
                </c:pt>
                <c:pt idx="40">
                  <c:v>0.62914560000000008</c:v>
                </c:pt>
                <c:pt idx="41">
                  <c:v>0.50331648000000007</c:v>
                </c:pt>
                <c:pt idx="42">
                  <c:v>0.40265318400000005</c:v>
                </c:pt>
              </c:numCache>
            </c:numRef>
          </c:xVal>
          <c:yVal>
            <c:numRef>
              <c:f>'Gradient Descent'!$B$15:$B$57</c:f>
              <c:numCache>
                <c:formatCode>General</c:formatCode>
                <c:ptCount val="43"/>
                <c:pt idx="0">
                  <c:v>4</c:v>
                </c:pt>
                <c:pt idx="1">
                  <c:v>3.24</c:v>
                </c:pt>
                <c:pt idx="2">
                  <c:v>2.5600000000000005</c:v>
                </c:pt>
                <c:pt idx="3">
                  <c:v>1.9600000000000004</c:v>
                </c:pt>
                <c:pt idx="4">
                  <c:v>1.4400000000000004</c:v>
                </c:pt>
                <c:pt idx="5">
                  <c:v>1.0000000000000004</c:v>
                </c:pt>
                <c:pt idx="6">
                  <c:v>0.64000000000000046</c:v>
                </c:pt>
                <c:pt idx="7">
                  <c:v>0.36000000000000038</c:v>
                </c:pt>
                <c:pt idx="8">
                  <c:v>0.16000000000000025</c:v>
                </c:pt>
                <c:pt idx="9">
                  <c:v>4.0000000000000119E-2</c:v>
                </c:pt>
                <c:pt idx="10">
                  <c:v>7.7037197775489434E-32</c:v>
                </c:pt>
                <c:pt idx="11">
                  <c:v>3.9999999999999897E-2</c:v>
                </c:pt>
                <c:pt idx="12">
                  <c:v>0.15999999999999981</c:v>
                </c:pt>
                <c:pt idx="13">
                  <c:v>0.35999999999999971</c:v>
                </c:pt>
                <c:pt idx="14">
                  <c:v>0.63999999999999968</c:v>
                </c:pt>
                <c:pt idx="15">
                  <c:v>0.99999999999999956</c:v>
                </c:pt>
                <c:pt idx="16">
                  <c:v>1.4399999999999993</c:v>
                </c:pt>
                <c:pt idx="17">
                  <c:v>1.9599999999999991</c:v>
                </c:pt>
                <c:pt idx="18">
                  <c:v>2.5599999999999987</c:v>
                </c:pt>
                <c:pt idx="19">
                  <c:v>3.2399999999999984</c:v>
                </c:pt>
                <c:pt idx="20">
                  <c:v>3.9999999999999982</c:v>
                </c:pt>
                <c:pt idx="21">
                  <c:v>4.839999999999999</c:v>
                </c:pt>
                <c:pt idx="22">
                  <c:v>5.76</c:v>
                </c:pt>
                <c:pt idx="23">
                  <c:v>6.7600000000000007</c:v>
                </c:pt>
                <c:pt idx="24">
                  <c:v>7.8400000000000016</c:v>
                </c:pt>
                <c:pt idx="25">
                  <c:v>9.0000000000000036</c:v>
                </c:pt>
                <c:pt idx="26">
                  <c:v>10.240000000000004</c:v>
                </c:pt>
                <c:pt idx="27">
                  <c:v>11.560000000000006</c:v>
                </c:pt>
                <c:pt idx="28">
                  <c:v>12.960000000000006</c:v>
                </c:pt>
                <c:pt idx="29">
                  <c:v>14.440000000000008</c:v>
                </c:pt>
                <c:pt idx="30">
                  <c:v>16.000000000000007</c:v>
                </c:pt>
                <c:pt idx="31">
                  <c:v>17.640000000000008</c:v>
                </c:pt>
                <c:pt idx="32">
                  <c:v>19.36000000000001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8-49EE-8A3C-764594ED111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'Gradient Descent'!$A$15:$A$57</c:f>
              <c:numCache>
                <c:formatCode>General</c:formatCode>
                <c:ptCount val="43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-1.4000000000000001</c:v>
                </c:pt>
                <c:pt idx="4">
                  <c:v>-1.2000000000000002</c:v>
                </c:pt>
                <c:pt idx="5">
                  <c:v>-1.0000000000000002</c:v>
                </c:pt>
                <c:pt idx="6">
                  <c:v>-0.80000000000000027</c:v>
                </c:pt>
                <c:pt idx="7">
                  <c:v>-0.60000000000000031</c:v>
                </c:pt>
                <c:pt idx="8">
                  <c:v>-0.4000000000000003</c:v>
                </c:pt>
                <c:pt idx="9">
                  <c:v>-0.20000000000000029</c:v>
                </c:pt>
                <c:pt idx="10">
                  <c:v>-2.7755575615628914E-16</c:v>
                </c:pt>
                <c:pt idx="11">
                  <c:v>0.19999999999999973</c:v>
                </c:pt>
                <c:pt idx="12">
                  <c:v>0.39999999999999974</c:v>
                </c:pt>
                <c:pt idx="13">
                  <c:v>0.59999999999999976</c:v>
                </c:pt>
                <c:pt idx="14">
                  <c:v>0.79999999999999982</c:v>
                </c:pt>
                <c:pt idx="15">
                  <c:v>0.99999999999999978</c:v>
                </c:pt>
                <c:pt idx="16">
                  <c:v>1.1999999999999997</c:v>
                </c:pt>
                <c:pt idx="17">
                  <c:v>1.3999999999999997</c:v>
                </c:pt>
                <c:pt idx="18">
                  <c:v>1.5999999999999996</c:v>
                </c:pt>
                <c:pt idx="19">
                  <c:v>1.7999999999999996</c:v>
                </c:pt>
                <c:pt idx="20">
                  <c:v>1.9999999999999996</c:v>
                </c:pt>
                <c:pt idx="21">
                  <c:v>2.1999999999999997</c:v>
                </c:pt>
                <c:pt idx="22">
                  <c:v>2.4</c:v>
                </c:pt>
                <c:pt idx="23">
                  <c:v>2.6</c:v>
                </c:pt>
                <c:pt idx="24">
                  <c:v>2.8000000000000003</c:v>
                </c:pt>
                <c:pt idx="25">
                  <c:v>3.0000000000000004</c:v>
                </c:pt>
                <c:pt idx="26">
                  <c:v>3.2000000000000006</c:v>
                </c:pt>
                <c:pt idx="27">
                  <c:v>3.4000000000000008</c:v>
                </c:pt>
                <c:pt idx="28">
                  <c:v>3.600000000000001</c:v>
                </c:pt>
                <c:pt idx="29">
                  <c:v>3.8000000000000012</c:v>
                </c:pt>
                <c:pt idx="30">
                  <c:v>4.0000000000000009</c:v>
                </c:pt>
                <c:pt idx="31">
                  <c:v>4.2000000000000011</c:v>
                </c:pt>
                <c:pt idx="32">
                  <c:v>4.4000000000000012</c:v>
                </c:pt>
                <c:pt idx="33">
                  <c:v>3</c:v>
                </c:pt>
                <c:pt idx="34">
                  <c:v>2.4</c:v>
                </c:pt>
                <c:pt idx="35">
                  <c:v>1.92</c:v>
                </c:pt>
                <c:pt idx="36">
                  <c:v>1.536</c:v>
                </c:pt>
                <c:pt idx="37">
                  <c:v>1.2288000000000001</c:v>
                </c:pt>
                <c:pt idx="38">
                  <c:v>0.98304000000000014</c:v>
                </c:pt>
                <c:pt idx="39">
                  <c:v>0.78643200000000013</c:v>
                </c:pt>
                <c:pt idx="40">
                  <c:v>0.62914560000000008</c:v>
                </c:pt>
                <c:pt idx="41">
                  <c:v>0.50331648000000007</c:v>
                </c:pt>
                <c:pt idx="42">
                  <c:v>0.40265318400000005</c:v>
                </c:pt>
              </c:numCache>
            </c:numRef>
          </c:xVal>
          <c:yVal>
            <c:numRef>
              <c:f>'Gradient Descent'!$C$15:$C$57</c:f>
              <c:numCache>
                <c:formatCode>General</c:formatCode>
                <c:ptCount val="43"/>
                <c:pt idx="0">
                  <c:v>1</c:v>
                </c:pt>
                <c:pt idx="1">
                  <c:v>0.8</c:v>
                </c:pt>
                <c:pt idx="2">
                  <c:v>0.64</c:v>
                </c:pt>
                <c:pt idx="3">
                  <c:v>0.51200000000000001</c:v>
                </c:pt>
                <c:pt idx="4">
                  <c:v>0.40960000000000002</c:v>
                </c:pt>
                <c:pt idx="5">
                  <c:v>0.32768000000000003</c:v>
                </c:pt>
                <c:pt idx="6">
                  <c:v>0.26214400000000004</c:v>
                </c:pt>
                <c:pt idx="7">
                  <c:v>0.20971520000000005</c:v>
                </c:pt>
                <c:pt idx="8">
                  <c:v>0.16777216000000003</c:v>
                </c:pt>
                <c:pt idx="9">
                  <c:v>0.13421772800000004</c:v>
                </c:pt>
                <c:pt idx="33">
                  <c:v>9</c:v>
                </c:pt>
                <c:pt idx="34">
                  <c:v>5.76</c:v>
                </c:pt>
                <c:pt idx="35">
                  <c:v>3.6863999999999999</c:v>
                </c:pt>
                <c:pt idx="36">
                  <c:v>2.3592960000000001</c:v>
                </c:pt>
                <c:pt idx="37">
                  <c:v>1.5099494400000002</c:v>
                </c:pt>
                <c:pt idx="38">
                  <c:v>0.96636764160000022</c:v>
                </c:pt>
                <c:pt idx="39">
                  <c:v>0.6184752906240002</c:v>
                </c:pt>
                <c:pt idx="40">
                  <c:v>0.39582418599936009</c:v>
                </c:pt>
                <c:pt idx="41">
                  <c:v>0.25332747903959046</c:v>
                </c:pt>
                <c:pt idx="42">
                  <c:v>0.16212958658533791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F8-49EE-8A3C-764594ED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40399"/>
        <c:axId val="1153115631"/>
      </c:scatterChart>
      <c:valAx>
        <c:axId val="108404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15631"/>
        <c:crosses val="autoZero"/>
        <c:crossBetween val="midCat"/>
      </c:valAx>
      <c:valAx>
        <c:axId val="11531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'Newton Optimization Method'!$A$3:$A$9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1.4166666666666667</c:v>
                </c:pt>
                <c:pt idx="3">
                  <c:v>1.4142156862745099</c:v>
                </c:pt>
                <c:pt idx="4">
                  <c:v>1.4142135623746899</c:v>
                </c:pt>
                <c:pt idx="5">
                  <c:v>1.4142135623730951</c:v>
                </c:pt>
                <c:pt idx="6">
                  <c:v>1.4142135623730951</c:v>
                </c:pt>
              </c:numCache>
            </c:numRef>
          </c:xVal>
          <c:yVal>
            <c:numRef>
              <c:f>'Newton Optimization Method'!$B$3:$B$9</c:f>
              <c:numCache>
                <c:formatCode>General</c:formatCode>
                <c:ptCount val="7"/>
                <c:pt idx="0">
                  <c:v>-1</c:v>
                </c:pt>
                <c:pt idx="1">
                  <c:v>0.25</c:v>
                </c:pt>
                <c:pt idx="2">
                  <c:v>6.9444444444446418E-3</c:v>
                </c:pt>
                <c:pt idx="3">
                  <c:v>6.0073048828712672E-6</c:v>
                </c:pt>
                <c:pt idx="4">
                  <c:v>4.510614104447086E-12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B-414D-8845-93B534BA1E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'Newton Optimization Method'!$A$3:$A$9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1.4166666666666667</c:v>
                </c:pt>
                <c:pt idx="3">
                  <c:v>1.4142156862745099</c:v>
                </c:pt>
                <c:pt idx="4">
                  <c:v>1.4142135623746899</c:v>
                </c:pt>
                <c:pt idx="5">
                  <c:v>1.4142135623730951</c:v>
                </c:pt>
                <c:pt idx="6">
                  <c:v>1.4142135623730951</c:v>
                </c:pt>
              </c:numCache>
            </c:numRef>
          </c:xVal>
          <c:yVal>
            <c:numRef>
              <c:f>'Newton Optimization Method'!$C$3:$C$9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2.8333333333333335</c:v>
                </c:pt>
                <c:pt idx="3">
                  <c:v>2.8284313725490198</c:v>
                </c:pt>
                <c:pt idx="4">
                  <c:v>2.8284271247493797</c:v>
                </c:pt>
                <c:pt idx="5">
                  <c:v>2.8284271247461903</c:v>
                </c:pt>
                <c:pt idx="6">
                  <c:v>2.8284271247461903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DB-414D-8845-93B534BA1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36559"/>
        <c:axId val="996812207"/>
      </c:scatterChart>
      <c:valAx>
        <c:axId val="108403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12207"/>
        <c:crosses val="autoZero"/>
        <c:crossBetween val="midCat"/>
      </c:valAx>
      <c:valAx>
        <c:axId val="9968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3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26193</xdr:colOff>
      <xdr:row>29</xdr:row>
      <xdr:rowOff>71438</xdr:rowOff>
    </xdr:from>
    <xdr:to>
      <xdr:col>12</xdr:col>
      <xdr:colOff>64293</xdr:colOff>
      <xdr:row>44</xdr:row>
      <xdr:rowOff>100013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AEEA34-7F51-6B8B-A757-9FC5808F4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</xdr:colOff>
      <xdr:row>7</xdr:row>
      <xdr:rowOff>47625</xdr:rowOff>
    </xdr:from>
    <xdr:to>
      <xdr:col>13</xdr:col>
      <xdr:colOff>92868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31B35-1F09-27AA-3CE0-2380C72B3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67EB-B1A3-40DF-A89D-A527120E84F3}">
  <dimension ref="A3:I22"/>
  <sheetViews>
    <sheetView workbookViewId="0">
      <selection activeCell="H21" sqref="H21"/>
    </sheetView>
  </sheetViews>
  <sheetFormatPr defaultRowHeight="14.25" x14ac:dyDescent="0.45"/>
  <sheetData>
    <row r="3" spans="1:9" x14ac:dyDescent="0.45">
      <c r="B3" s="12" t="s">
        <v>8</v>
      </c>
    </row>
    <row r="5" spans="1:9" x14ac:dyDescent="0.45">
      <c r="A5" s="12" t="s">
        <v>4</v>
      </c>
      <c r="D5" s="12" t="s">
        <v>3</v>
      </c>
    </row>
    <row r="6" spans="1:9" x14ac:dyDescent="0.45">
      <c r="A6" s="1">
        <v>2</v>
      </c>
      <c r="B6" s="2">
        <v>1</v>
      </c>
      <c r="C6" s="3">
        <v>1</v>
      </c>
      <c r="D6" s="9">
        <v>5</v>
      </c>
      <c r="E6" s="12" t="s">
        <v>0</v>
      </c>
      <c r="H6" s="18" t="s">
        <v>9</v>
      </c>
      <c r="I6" s="17">
        <v>1</v>
      </c>
    </row>
    <row r="7" spans="1:9" x14ac:dyDescent="0.45">
      <c r="A7" s="4">
        <v>4</v>
      </c>
      <c r="B7">
        <v>-6</v>
      </c>
      <c r="C7" s="5"/>
      <c r="D7" s="10">
        <v>-2</v>
      </c>
      <c r="E7" s="12" t="s">
        <v>2</v>
      </c>
      <c r="H7" s="18" t="s">
        <v>10</v>
      </c>
      <c r="I7" s="17">
        <v>1</v>
      </c>
    </row>
    <row r="8" spans="1:9" x14ac:dyDescent="0.45">
      <c r="A8" s="6">
        <v>-2</v>
      </c>
      <c r="B8" s="7">
        <v>7</v>
      </c>
      <c r="C8" s="8">
        <v>2</v>
      </c>
      <c r="D8" s="11">
        <v>9</v>
      </c>
      <c r="E8" s="12" t="s">
        <v>1</v>
      </c>
      <c r="H8" s="18" t="s">
        <v>11</v>
      </c>
      <c r="I8" s="17">
        <v>2</v>
      </c>
    </row>
    <row r="11" spans="1:9" x14ac:dyDescent="0.45">
      <c r="A11" s="1">
        <v>2</v>
      </c>
      <c r="B11" s="2">
        <v>1</v>
      </c>
      <c r="C11" s="3">
        <v>1</v>
      </c>
      <c r="D11" s="9">
        <v>5</v>
      </c>
    </row>
    <row r="12" spans="1:9" x14ac:dyDescent="0.45">
      <c r="A12" s="13">
        <f>A7-2*A6</f>
        <v>0</v>
      </c>
      <c r="B12" s="13">
        <f t="shared" ref="B12:D12" si="0">B7-2*B6</f>
        <v>-8</v>
      </c>
      <c r="C12" s="13">
        <f t="shared" si="0"/>
        <v>-2</v>
      </c>
      <c r="D12" s="14">
        <f t="shared" si="0"/>
        <v>-12</v>
      </c>
      <c r="E12" s="12" t="s">
        <v>6</v>
      </c>
    </row>
    <row r="13" spans="1:9" x14ac:dyDescent="0.45">
      <c r="A13" s="15">
        <f>A8+A6</f>
        <v>0</v>
      </c>
      <c r="B13" s="15">
        <f t="shared" ref="B13:D13" si="1">B8+B6</f>
        <v>8</v>
      </c>
      <c r="C13" s="15">
        <f t="shared" si="1"/>
        <v>3</v>
      </c>
      <c r="D13" s="16">
        <f t="shared" si="1"/>
        <v>14</v>
      </c>
      <c r="E13" s="12" t="s">
        <v>5</v>
      </c>
    </row>
    <row r="15" spans="1:9" x14ac:dyDescent="0.45">
      <c r="A15" s="1">
        <v>2</v>
      </c>
      <c r="B15" s="2">
        <v>1</v>
      </c>
      <c r="C15" s="3">
        <v>1</v>
      </c>
      <c r="D15" s="9">
        <v>5</v>
      </c>
    </row>
    <row r="16" spans="1:9" x14ac:dyDescent="0.45">
      <c r="A16" s="4">
        <v>0</v>
      </c>
      <c r="B16" s="4">
        <v>-8</v>
      </c>
      <c r="C16" s="4">
        <v>-2</v>
      </c>
      <c r="D16" s="10">
        <v>-12</v>
      </c>
    </row>
    <row r="17" spans="1:5" x14ac:dyDescent="0.45">
      <c r="A17" s="15">
        <f>A13+A12</f>
        <v>0</v>
      </c>
      <c r="B17" s="15">
        <f t="shared" ref="B17:D17" si="2">B13+B12</f>
        <v>0</v>
      </c>
      <c r="C17" s="15">
        <f t="shared" si="2"/>
        <v>1</v>
      </c>
      <c r="D17" s="16">
        <f t="shared" si="2"/>
        <v>2</v>
      </c>
      <c r="E17" s="12" t="s">
        <v>7</v>
      </c>
    </row>
    <row r="19" spans="1:5" x14ac:dyDescent="0.45">
      <c r="A19" s="12" t="s">
        <v>4</v>
      </c>
      <c r="D19" s="12" t="s">
        <v>3</v>
      </c>
    </row>
    <row r="20" spans="1:5" x14ac:dyDescent="0.45">
      <c r="A20" s="1">
        <v>2</v>
      </c>
      <c r="B20" s="2">
        <v>1</v>
      </c>
      <c r="C20" s="3">
        <v>1</v>
      </c>
      <c r="D20" s="9">
        <v>5</v>
      </c>
      <c r="E20" s="12" t="s">
        <v>0</v>
      </c>
    </row>
    <row r="21" spans="1:5" x14ac:dyDescent="0.45">
      <c r="A21" s="4">
        <v>0</v>
      </c>
      <c r="B21">
        <v>-8</v>
      </c>
      <c r="C21" s="5">
        <v>-2</v>
      </c>
      <c r="D21" s="10">
        <v>-12</v>
      </c>
      <c r="E21" s="12" t="s">
        <v>2</v>
      </c>
    </row>
    <row r="22" spans="1:5" x14ac:dyDescent="0.45">
      <c r="A22" s="6">
        <v>0</v>
      </c>
      <c r="B22" s="7">
        <v>0</v>
      </c>
      <c r="C22" s="8">
        <v>1</v>
      </c>
      <c r="D22" s="11">
        <v>2</v>
      </c>
      <c r="E22" s="1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9FFB-D977-47A6-A22C-D17693166981}">
  <dimension ref="A2:G33"/>
  <sheetViews>
    <sheetView workbookViewId="0">
      <selection activeCell="J21" sqref="J21"/>
    </sheetView>
  </sheetViews>
  <sheetFormatPr defaultRowHeight="14.25" x14ac:dyDescent="0.45"/>
  <sheetData>
    <row r="2" spans="1:7" x14ac:dyDescent="0.45">
      <c r="B2" s="19" t="s">
        <v>12</v>
      </c>
      <c r="F2" s="12" t="s">
        <v>13</v>
      </c>
    </row>
    <row r="3" spans="1:7" x14ac:dyDescent="0.45">
      <c r="A3" s="20">
        <v>2</v>
      </c>
      <c r="B3" s="20">
        <v>1</v>
      </c>
      <c r="C3" s="20">
        <v>1</v>
      </c>
      <c r="E3" s="21" cm="1">
        <f t="array" ref="E3:G5">MINVERSE(A3:C5)</f>
        <v>0.75</v>
      </c>
      <c r="F3" s="21">
        <v>-0.3125</v>
      </c>
      <c r="G3" s="21">
        <v>-0.375</v>
      </c>
    </row>
    <row r="4" spans="1:7" x14ac:dyDescent="0.45">
      <c r="A4" s="20">
        <v>4</v>
      </c>
      <c r="B4" s="20">
        <v>-6</v>
      </c>
      <c r="C4" s="20">
        <v>0</v>
      </c>
      <c r="E4" s="21">
        <v>0.5</v>
      </c>
      <c r="F4" s="21">
        <v>-0.375</v>
      </c>
      <c r="G4" s="21">
        <v>-0.25</v>
      </c>
    </row>
    <row r="5" spans="1:7" x14ac:dyDescent="0.45">
      <c r="A5" s="20">
        <v>-2</v>
      </c>
      <c r="B5" s="20">
        <v>7</v>
      </c>
      <c r="C5" s="20">
        <v>2</v>
      </c>
      <c r="E5" s="21">
        <v>-1</v>
      </c>
      <c r="F5" s="21">
        <v>1</v>
      </c>
      <c r="G5" s="21">
        <v>1</v>
      </c>
    </row>
    <row r="7" spans="1:7" x14ac:dyDescent="0.45">
      <c r="A7" s="20">
        <v>2</v>
      </c>
      <c r="B7" s="20">
        <v>1</v>
      </c>
      <c r="C7" s="20">
        <v>1</v>
      </c>
      <c r="D7" s="22">
        <v>1</v>
      </c>
      <c r="E7" s="22">
        <v>0</v>
      </c>
      <c r="F7" s="22">
        <v>0</v>
      </c>
      <c r="G7" t="s">
        <v>0</v>
      </c>
    </row>
    <row r="8" spans="1:7" x14ac:dyDescent="0.45">
      <c r="A8" s="20">
        <v>4</v>
      </c>
      <c r="B8" s="20">
        <v>-6</v>
      </c>
      <c r="C8" s="20">
        <v>0</v>
      </c>
      <c r="D8" s="22">
        <v>0</v>
      </c>
      <c r="E8" s="22">
        <v>1</v>
      </c>
      <c r="F8" s="22">
        <v>0</v>
      </c>
      <c r="G8" t="s">
        <v>2</v>
      </c>
    </row>
    <row r="9" spans="1:7" x14ac:dyDescent="0.45">
      <c r="A9" s="20">
        <v>-2</v>
      </c>
      <c r="B9" s="20">
        <v>7</v>
      </c>
      <c r="C9" s="20">
        <v>2</v>
      </c>
      <c r="D9" s="22">
        <v>0</v>
      </c>
      <c r="E9" s="22">
        <v>0</v>
      </c>
      <c r="F9" s="22">
        <v>1</v>
      </c>
      <c r="G9" t="s">
        <v>1</v>
      </c>
    </row>
    <row r="11" spans="1:7" x14ac:dyDescent="0.45">
      <c r="A11" s="20">
        <v>2</v>
      </c>
      <c r="B11" s="20">
        <v>1</v>
      </c>
      <c r="C11" s="20">
        <v>1</v>
      </c>
      <c r="D11" s="22">
        <v>1</v>
      </c>
      <c r="E11" s="22">
        <v>0</v>
      </c>
      <c r="F11" s="22">
        <v>0</v>
      </c>
      <c r="G11" t="s">
        <v>0</v>
      </c>
    </row>
    <row r="12" spans="1:7" x14ac:dyDescent="0.45">
      <c r="A12" s="20" cm="1">
        <f t="array" ref="A12:F12">A8:F8-2*A7:F7</f>
        <v>0</v>
      </c>
      <c r="B12" s="20">
        <v>-8</v>
      </c>
      <c r="C12" s="20">
        <v>-2</v>
      </c>
      <c r="D12" s="22">
        <v>-2</v>
      </c>
      <c r="E12" s="22">
        <v>1</v>
      </c>
      <c r="F12" s="22">
        <v>0</v>
      </c>
      <c r="G12" t="s">
        <v>6</v>
      </c>
    </row>
    <row r="13" spans="1:7" x14ac:dyDescent="0.45">
      <c r="A13" s="20" cm="1">
        <f t="array" ref="A13:F13">A9:F9+A7:F7</f>
        <v>0</v>
      </c>
      <c r="B13" s="20">
        <v>8</v>
      </c>
      <c r="C13" s="20">
        <v>3</v>
      </c>
      <c r="D13" s="22">
        <v>1</v>
      </c>
      <c r="E13" s="22">
        <v>0</v>
      </c>
      <c r="F13" s="22">
        <v>1</v>
      </c>
      <c r="G13" t="s">
        <v>5</v>
      </c>
    </row>
    <row r="15" spans="1:7" x14ac:dyDescent="0.45">
      <c r="A15" s="20">
        <v>2</v>
      </c>
      <c r="B15" s="20">
        <v>1</v>
      </c>
      <c r="C15" s="20">
        <v>1</v>
      </c>
      <c r="D15" s="22">
        <v>1</v>
      </c>
      <c r="E15" s="22">
        <v>0</v>
      </c>
      <c r="F15" s="22">
        <v>0</v>
      </c>
      <c r="G15" t="s">
        <v>0</v>
      </c>
    </row>
    <row r="16" spans="1:7" x14ac:dyDescent="0.45">
      <c r="A16" s="24">
        <v>0</v>
      </c>
      <c r="B16" s="20">
        <v>-8</v>
      </c>
      <c r="C16" s="20">
        <v>-2</v>
      </c>
      <c r="D16" s="22">
        <v>-2</v>
      </c>
      <c r="E16" s="22">
        <v>1</v>
      </c>
      <c r="F16" s="22">
        <v>0</v>
      </c>
      <c r="G16" t="s">
        <v>2</v>
      </c>
    </row>
    <row r="17" spans="1:7" x14ac:dyDescent="0.45">
      <c r="A17" s="24" cm="1">
        <f t="array" ref="A17:F17">A13:F13+A12:F12</f>
        <v>0</v>
      </c>
      <c r="B17" s="24">
        <v>0</v>
      </c>
      <c r="C17" s="20">
        <v>1</v>
      </c>
      <c r="D17" s="22">
        <v>-1</v>
      </c>
      <c r="E17" s="22">
        <v>1</v>
      </c>
      <c r="F17" s="22">
        <v>1</v>
      </c>
      <c r="G17" t="s">
        <v>7</v>
      </c>
    </row>
    <row r="19" spans="1:7" x14ac:dyDescent="0.45">
      <c r="A19" s="20">
        <v>2</v>
      </c>
      <c r="B19" s="20">
        <v>1</v>
      </c>
      <c r="C19" s="20">
        <v>1</v>
      </c>
      <c r="D19" s="22">
        <v>1</v>
      </c>
      <c r="E19" s="22">
        <v>0</v>
      </c>
      <c r="F19" s="22">
        <v>0</v>
      </c>
      <c r="G19" t="s">
        <v>0</v>
      </c>
    </row>
    <row r="20" spans="1:7" x14ac:dyDescent="0.45">
      <c r="A20" s="20" cm="1">
        <f t="array" ref="A20:F20">A16:F16+2*A17:F17</f>
        <v>0</v>
      </c>
      <c r="B20" s="20">
        <v>-8</v>
      </c>
      <c r="C20" s="20">
        <v>0</v>
      </c>
      <c r="D20" s="22">
        <v>-4</v>
      </c>
      <c r="E20" s="22">
        <v>3</v>
      </c>
      <c r="F20" s="22">
        <v>2</v>
      </c>
      <c r="G20" t="s">
        <v>15</v>
      </c>
    </row>
    <row r="21" spans="1:7" x14ac:dyDescent="0.45">
      <c r="A21" s="20">
        <v>0</v>
      </c>
      <c r="B21" s="20">
        <v>0</v>
      </c>
      <c r="C21" s="20">
        <v>1</v>
      </c>
      <c r="D21" s="22">
        <v>-1</v>
      </c>
      <c r="E21" s="22">
        <v>1</v>
      </c>
      <c r="F21" s="22">
        <v>1</v>
      </c>
      <c r="G21" t="s">
        <v>1</v>
      </c>
    </row>
    <row r="22" spans="1:7" x14ac:dyDescent="0.45">
      <c r="A22" s="23"/>
      <c r="B22" s="23"/>
      <c r="C22" s="23"/>
      <c r="D22" s="23"/>
      <c r="E22" s="23"/>
      <c r="F22" s="23"/>
    </row>
    <row r="23" spans="1:7" x14ac:dyDescent="0.45">
      <c r="A23" s="20" cm="1">
        <f t="array" ref="A23:F23">A19:F19-A24:F24</f>
        <v>2</v>
      </c>
      <c r="B23" s="20">
        <v>0</v>
      </c>
      <c r="C23" s="20">
        <v>1</v>
      </c>
      <c r="D23" s="22">
        <v>0.5</v>
      </c>
      <c r="E23" s="22">
        <v>0.375</v>
      </c>
      <c r="F23" s="22">
        <v>0.25</v>
      </c>
      <c r="G23" t="s">
        <v>16</v>
      </c>
    </row>
    <row r="24" spans="1:7" x14ac:dyDescent="0.45">
      <c r="A24" s="20" cm="1">
        <f t="array" ref="A24:F24">A20:F20/-8</f>
        <v>0</v>
      </c>
      <c r="B24" s="20">
        <v>1</v>
      </c>
      <c r="C24" s="20">
        <v>0</v>
      </c>
      <c r="D24" s="22">
        <v>0.5</v>
      </c>
      <c r="E24" s="22">
        <v>-0.375</v>
      </c>
      <c r="F24" s="22">
        <v>-0.25</v>
      </c>
      <c r="G24" t="s">
        <v>14</v>
      </c>
    </row>
    <row r="25" spans="1:7" x14ac:dyDescent="0.45">
      <c r="A25" s="20">
        <v>0</v>
      </c>
      <c r="B25" s="20">
        <v>0</v>
      </c>
      <c r="C25" s="20">
        <v>1</v>
      </c>
      <c r="D25" s="22">
        <v>-1</v>
      </c>
      <c r="E25" s="22">
        <v>1</v>
      </c>
      <c r="F25" s="22">
        <v>1</v>
      </c>
      <c r="G25" t="s">
        <v>1</v>
      </c>
    </row>
    <row r="26" spans="1:7" x14ac:dyDescent="0.45">
      <c r="A26" s="23"/>
      <c r="B26" s="23"/>
      <c r="C26" s="23"/>
      <c r="D26" s="23"/>
      <c r="E26" s="23"/>
      <c r="F26" s="23"/>
    </row>
    <row r="27" spans="1:7" x14ac:dyDescent="0.45">
      <c r="A27" s="20" cm="1">
        <f t="array" ref="A27:F27">(A23:F23-A25:F25)/2</f>
        <v>1</v>
      </c>
      <c r="B27" s="24">
        <v>0</v>
      </c>
      <c r="C27" s="24">
        <v>0</v>
      </c>
      <c r="D27" s="22">
        <v>0.75</v>
      </c>
      <c r="E27" s="22">
        <v>-0.3125</v>
      </c>
      <c r="F27" s="22">
        <v>-0.375</v>
      </c>
      <c r="G27" t="s">
        <v>17</v>
      </c>
    </row>
    <row r="28" spans="1:7" x14ac:dyDescent="0.45">
      <c r="A28" s="24">
        <v>0</v>
      </c>
      <c r="B28" s="20">
        <v>1</v>
      </c>
      <c r="C28" s="24">
        <v>0</v>
      </c>
      <c r="D28" s="22">
        <v>0.5</v>
      </c>
      <c r="E28" s="22">
        <v>-0.375</v>
      </c>
      <c r="F28" s="22">
        <v>-0.25</v>
      </c>
      <c r="G28" t="s">
        <v>2</v>
      </c>
    </row>
    <row r="29" spans="1:7" x14ac:dyDescent="0.45">
      <c r="A29" s="24">
        <v>0</v>
      </c>
      <c r="B29" s="24">
        <v>0</v>
      </c>
      <c r="C29" s="20">
        <v>1</v>
      </c>
      <c r="D29" s="22">
        <v>-1</v>
      </c>
      <c r="E29" s="22">
        <v>1</v>
      </c>
      <c r="F29" s="22">
        <v>1</v>
      </c>
      <c r="G29" t="s">
        <v>1</v>
      </c>
    </row>
    <row r="30" spans="1:7" x14ac:dyDescent="0.45">
      <c r="A30" s="23"/>
      <c r="B30" s="23"/>
      <c r="C30" s="23"/>
      <c r="D30" s="23"/>
      <c r="E30" s="23"/>
      <c r="F30" s="23"/>
    </row>
    <row r="31" spans="1:7" x14ac:dyDescent="0.45">
      <c r="A31" s="23"/>
      <c r="B31" s="23"/>
      <c r="C31" s="23"/>
      <c r="D31" s="23"/>
      <c r="E31" s="23"/>
      <c r="F31" s="23"/>
    </row>
    <row r="32" spans="1:7" x14ac:dyDescent="0.45">
      <c r="A32" s="23"/>
      <c r="B32" s="23"/>
      <c r="C32" s="23"/>
      <c r="D32" s="23"/>
      <c r="E32" s="23"/>
      <c r="F32" s="23"/>
    </row>
    <row r="33" spans="1:6" x14ac:dyDescent="0.45">
      <c r="A33" s="23"/>
      <c r="B33" s="23"/>
      <c r="C33" s="23"/>
      <c r="D33" s="23"/>
      <c r="E33" s="23"/>
      <c r="F3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2D05-F103-45A1-9B3C-2C610E63FDE4}">
  <dimension ref="A1:E15"/>
  <sheetViews>
    <sheetView workbookViewId="0">
      <selection activeCell="H5" sqref="H5"/>
    </sheetView>
  </sheetViews>
  <sheetFormatPr defaultRowHeight="14.25" x14ac:dyDescent="0.45"/>
  <sheetData>
    <row r="1" spans="1:5" x14ac:dyDescent="0.45">
      <c r="B1" s="19" t="s">
        <v>12</v>
      </c>
      <c r="D1" s="19" t="s">
        <v>18</v>
      </c>
      <c r="E1" s="19" t="s">
        <v>22</v>
      </c>
    </row>
    <row r="2" spans="1:5" x14ac:dyDescent="0.45">
      <c r="A2" s="25">
        <v>1</v>
      </c>
      <c r="B2" s="26">
        <v>-1</v>
      </c>
      <c r="C2" s="27">
        <v>1</v>
      </c>
      <c r="D2" s="25" t="s">
        <v>19</v>
      </c>
      <c r="E2" s="28">
        <v>3</v>
      </c>
    </row>
    <row r="3" spans="1:5" x14ac:dyDescent="0.45">
      <c r="A3" s="29">
        <v>0</v>
      </c>
      <c r="B3" s="23">
        <v>2</v>
      </c>
      <c r="C3" s="30">
        <v>-1</v>
      </c>
      <c r="D3" s="29" t="s">
        <v>20</v>
      </c>
      <c r="E3" s="31">
        <v>1</v>
      </c>
    </row>
    <row r="4" spans="1:5" x14ac:dyDescent="0.45">
      <c r="A4" s="32">
        <v>2</v>
      </c>
      <c r="B4" s="33">
        <v>3</v>
      </c>
      <c r="C4" s="34">
        <v>0</v>
      </c>
      <c r="D4" s="32" t="s">
        <v>21</v>
      </c>
      <c r="E4" s="35">
        <v>4</v>
      </c>
    </row>
    <row r="7" spans="1:5" ht="15.75" x14ac:dyDescent="0.45">
      <c r="B7" s="12" t="s">
        <v>13</v>
      </c>
      <c r="E7" s="12" t="s">
        <v>23</v>
      </c>
    </row>
    <row r="8" spans="1:5" x14ac:dyDescent="0.45">
      <c r="A8" s="25" cm="1">
        <f t="array" ref="A8:C10">MINVERSE(A2:C4)</f>
        <v>3.0000000000000009</v>
      </c>
      <c r="B8" s="26">
        <v>3.0000000000000009</v>
      </c>
      <c r="C8" s="27">
        <v>-1.0000000000000004</v>
      </c>
      <c r="E8" s="28" cm="1">
        <f t="array" ref="E8:E10">MMULT(_xlfn.ANCHORARRAY(A8),E2:E4)</f>
        <v>8.0000000000000018</v>
      </c>
    </row>
    <row r="9" spans="1:5" x14ac:dyDescent="0.45">
      <c r="A9" s="29">
        <v>-2.0000000000000004</v>
      </c>
      <c r="B9" s="23">
        <v>-2.0000000000000004</v>
      </c>
      <c r="C9" s="30">
        <v>1.0000000000000002</v>
      </c>
      <c r="E9" s="31">
        <v>-4.0000000000000009</v>
      </c>
    </row>
    <row r="10" spans="1:5" x14ac:dyDescent="0.45">
      <c r="A10" s="32">
        <v>-4.0000000000000009</v>
      </c>
      <c r="B10" s="33">
        <v>-5.0000000000000009</v>
      </c>
      <c r="C10" s="34">
        <v>2.0000000000000004</v>
      </c>
      <c r="E10" s="35">
        <v>-9.0000000000000018</v>
      </c>
    </row>
    <row r="12" spans="1:5" x14ac:dyDescent="0.45">
      <c r="A12" s="12" t="s">
        <v>24</v>
      </c>
    </row>
    <row r="13" spans="1:5" ht="15.75" x14ac:dyDescent="0.55000000000000004">
      <c r="A13" t="s">
        <v>27</v>
      </c>
    </row>
    <row r="14" spans="1:5" ht="15.75" x14ac:dyDescent="0.55000000000000004">
      <c r="A14" t="s">
        <v>25</v>
      </c>
    </row>
    <row r="15" spans="1:5" ht="15.75" x14ac:dyDescent="0.55000000000000004">
      <c r="A15" t="s">
        <v>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DB5C-AA9D-4EDB-8CFF-6602981FB052}">
  <dimension ref="A1:D57"/>
  <sheetViews>
    <sheetView topLeftCell="A33" workbookViewId="0">
      <selection activeCell="K51" sqref="K51"/>
    </sheetView>
  </sheetViews>
  <sheetFormatPr defaultRowHeight="14.25" x14ac:dyDescent="0.45"/>
  <cols>
    <col min="1" max="1" width="12.19921875" bestFit="1" customWidth="1"/>
  </cols>
  <sheetData>
    <row r="1" spans="1:4" x14ac:dyDescent="0.45">
      <c r="D1">
        <v>0.1</v>
      </c>
    </row>
    <row r="2" spans="1:4" x14ac:dyDescent="0.45">
      <c r="A2">
        <v>1</v>
      </c>
      <c r="B2">
        <v>6</v>
      </c>
      <c r="C2">
        <f>B2*2*$D$1</f>
        <v>1.2000000000000002</v>
      </c>
    </row>
    <row r="3" spans="1:4" x14ac:dyDescent="0.45">
      <c r="A3">
        <v>2</v>
      </c>
      <c r="B3">
        <f>B2-C2</f>
        <v>4.8</v>
      </c>
      <c r="C3">
        <f>B3*2*$D$1</f>
        <v>0.96</v>
      </c>
    </row>
    <row r="4" spans="1:4" x14ac:dyDescent="0.45">
      <c r="A4">
        <v>3</v>
      </c>
      <c r="B4">
        <f t="shared" ref="B4:B11" si="0">B3-C3</f>
        <v>3.84</v>
      </c>
      <c r="C4">
        <f t="shared" ref="C4:C11" si="1">B4*2*$D$1</f>
        <v>0.76800000000000002</v>
      </c>
    </row>
    <row r="5" spans="1:4" x14ac:dyDescent="0.45">
      <c r="A5">
        <v>4</v>
      </c>
      <c r="B5">
        <f t="shared" si="0"/>
        <v>3.0720000000000001</v>
      </c>
      <c r="C5">
        <f t="shared" si="1"/>
        <v>0.61440000000000006</v>
      </c>
    </row>
    <row r="6" spans="1:4" x14ac:dyDescent="0.45">
      <c r="A6">
        <v>5</v>
      </c>
      <c r="B6">
        <f t="shared" si="0"/>
        <v>2.4576000000000002</v>
      </c>
      <c r="C6">
        <f t="shared" si="1"/>
        <v>0.49152000000000007</v>
      </c>
    </row>
    <row r="7" spans="1:4" x14ac:dyDescent="0.45">
      <c r="A7">
        <v>6</v>
      </c>
      <c r="B7">
        <f t="shared" si="0"/>
        <v>1.9660800000000003</v>
      </c>
      <c r="C7">
        <f t="shared" si="1"/>
        <v>0.39321600000000007</v>
      </c>
    </row>
    <row r="8" spans="1:4" x14ac:dyDescent="0.45">
      <c r="A8">
        <v>7</v>
      </c>
      <c r="B8">
        <f t="shared" si="0"/>
        <v>1.5728640000000003</v>
      </c>
      <c r="C8">
        <f t="shared" si="1"/>
        <v>0.3145728000000001</v>
      </c>
    </row>
    <row r="9" spans="1:4" x14ac:dyDescent="0.45">
      <c r="A9">
        <v>8</v>
      </c>
      <c r="B9">
        <f t="shared" si="0"/>
        <v>1.2582912000000002</v>
      </c>
      <c r="C9">
        <f t="shared" si="1"/>
        <v>0.25165824000000003</v>
      </c>
    </row>
    <row r="10" spans="1:4" x14ac:dyDescent="0.45">
      <c r="A10">
        <v>9</v>
      </c>
      <c r="B10">
        <f t="shared" si="0"/>
        <v>1.0066329600000001</v>
      </c>
      <c r="C10">
        <f t="shared" si="1"/>
        <v>0.20132659200000003</v>
      </c>
    </row>
    <row r="11" spans="1:4" x14ac:dyDescent="0.45">
      <c r="A11">
        <v>10</v>
      </c>
      <c r="B11">
        <f t="shared" si="0"/>
        <v>0.80530636800000011</v>
      </c>
      <c r="C11">
        <f t="shared" si="1"/>
        <v>0.16106127360000003</v>
      </c>
    </row>
    <row r="14" spans="1:4" x14ac:dyDescent="0.45">
      <c r="A14" t="s">
        <v>28</v>
      </c>
      <c r="B14" t="s">
        <v>29</v>
      </c>
    </row>
    <row r="15" spans="1:4" x14ac:dyDescent="0.45">
      <c r="A15">
        <f>-2</f>
        <v>-2</v>
      </c>
      <c r="B15">
        <f>POWER(A15,2)</f>
        <v>4</v>
      </c>
      <c r="C15">
        <v>1</v>
      </c>
      <c r="D15">
        <f>C15*2*$D$1</f>
        <v>0.2</v>
      </c>
    </row>
    <row r="16" spans="1:4" x14ac:dyDescent="0.45">
      <c r="A16">
        <f>A15+0.2</f>
        <v>-1.8</v>
      </c>
      <c r="B16">
        <f t="shared" ref="B16:B47" si="2">POWER(A16,2)</f>
        <v>3.24</v>
      </c>
      <c r="C16">
        <f>C15-D15</f>
        <v>0.8</v>
      </c>
      <c r="D16">
        <f>C16*2*$D$1</f>
        <v>0.16000000000000003</v>
      </c>
    </row>
    <row r="17" spans="1:4" x14ac:dyDescent="0.45">
      <c r="A17">
        <f t="shared" ref="A17:A23" si="3">A16+0.2</f>
        <v>-1.6</v>
      </c>
      <c r="B17">
        <f t="shared" si="2"/>
        <v>2.5600000000000005</v>
      </c>
      <c r="C17">
        <f t="shared" ref="C17:C24" si="4">C16-D16</f>
        <v>0.64</v>
      </c>
      <c r="D17">
        <f t="shared" ref="D17:D24" si="5">C17*2*$D$1</f>
        <v>0.128</v>
      </c>
    </row>
    <row r="18" spans="1:4" x14ac:dyDescent="0.45">
      <c r="A18">
        <f t="shared" si="3"/>
        <v>-1.4000000000000001</v>
      </c>
      <c r="B18">
        <f t="shared" si="2"/>
        <v>1.9600000000000004</v>
      </c>
      <c r="C18">
        <f t="shared" si="4"/>
        <v>0.51200000000000001</v>
      </c>
      <c r="D18">
        <f t="shared" si="5"/>
        <v>0.1024</v>
      </c>
    </row>
    <row r="19" spans="1:4" x14ac:dyDescent="0.45">
      <c r="A19">
        <f t="shared" si="3"/>
        <v>-1.2000000000000002</v>
      </c>
      <c r="B19">
        <f t="shared" si="2"/>
        <v>1.4400000000000004</v>
      </c>
      <c r="C19">
        <f t="shared" si="4"/>
        <v>0.40960000000000002</v>
      </c>
      <c r="D19">
        <f t="shared" si="5"/>
        <v>8.1920000000000007E-2</v>
      </c>
    </row>
    <row r="20" spans="1:4" x14ac:dyDescent="0.45">
      <c r="A20">
        <f t="shared" si="3"/>
        <v>-1.0000000000000002</v>
      </c>
      <c r="B20">
        <f t="shared" si="2"/>
        <v>1.0000000000000004</v>
      </c>
      <c r="C20">
        <f t="shared" si="4"/>
        <v>0.32768000000000003</v>
      </c>
      <c r="D20">
        <f t="shared" si="5"/>
        <v>6.5536000000000011E-2</v>
      </c>
    </row>
    <row r="21" spans="1:4" x14ac:dyDescent="0.45">
      <c r="A21">
        <f t="shared" si="3"/>
        <v>-0.80000000000000027</v>
      </c>
      <c r="B21">
        <f t="shared" si="2"/>
        <v>0.64000000000000046</v>
      </c>
      <c r="C21">
        <f t="shared" si="4"/>
        <v>0.26214400000000004</v>
      </c>
      <c r="D21">
        <f t="shared" si="5"/>
        <v>5.2428800000000012E-2</v>
      </c>
    </row>
    <row r="22" spans="1:4" x14ac:dyDescent="0.45">
      <c r="A22">
        <f t="shared" si="3"/>
        <v>-0.60000000000000031</v>
      </c>
      <c r="B22">
        <f t="shared" si="2"/>
        <v>0.36000000000000038</v>
      </c>
      <c r="C22">
        <f t="shared" si="4"/>
        <v>0.20971520000000005</v>
      </c>
      <c r="D22">
        <f t="shared" si="5"/>
        <v>4.1943040000000015E-2</v>
      </c>
    </row>
    <row r="23" spans="1:4" x14ac:dyDescent="0.45">
      <c r="A23">
        <f t="shared" si="3"/>
        <v>-0.4000000000000003</v>
      </c>
      <c r="B23">
        <f t="shared" si="2"/>
        <v>0.16000000000000025</v>
      </c>
      <c r="C23">
        <f t="shared" si="4"/>
        <v>0.16777216000000003</v>
      </c>
      <c r="D23">
        <f t="shared" si="5"/>
        <v>3.3554432000000009E-2</v>
      </c>
    </row>
    <row r="24" spans="1:4" x14ac:dyDescent="0.45">
      <c r="A24">
        <f>A23+0.2</f>
        <v>-0.20000000000000029</v>
      </c>
      <c r="B24">
        <f t="shared" si="2"/>
        <v>4.0000000000000119E-2</v>
      </c>
      <c r="C24">
        <f t="shared" si="4"/>
        <v>0.13421772800000004</v>
      </c>
      <c r="D24">
        <f t="shared" si="5"/>
        <v>2.6843545600000008E-2</v>
      </c>
    </row>
    <row r="25" spans="1:4" x14ac:dyDescent="0.45">
      <c r="A25">
        <f>A24+0.2</f>
        <v>-2.7755575615628914E-16</v>
      </c>
      <c r="B25">
        <f>POWER(A25,2)</f>
        <v>7.7037197775489434E-32</v>
      </c>
    </row>
    <row r="26" spans="1:4" x14ac:dyDescent="0.45">
      <c r="A26">
        <f t="shared" ref="A26:A47" si="6">A25+0.2</f>
        <v>0.19999999999999973</v>
      </c>
      <c r="B26">
        <f t="shared" si="2"/>
        <v>3.9999999999999897E-2</v>
      </c>
    </row>
    <row r="27" spans="1:4" x14ac:dyDescent="0.45">
      <c r="A27">
        <f t="shared" si="6"/>
        <v>0.39999999999999974</v>
      </c>
      <c r="B27">
        <f t="shared" si="2"/>
        <v>0.15999999999999981</v>
      </c>
    </row>
    <row r="28" spans="1:4" x14ac:dyDescent="0.45">
      <c r="A28">
        <f t="shared" si="6"/>
        <v>0.59999999999999976</v>
      </c>
      <c r="B28">
        <f t="shared" si="2"/>
        <v>0.35999999999999971</v>
      </c>
    </row>
    <row r="29" spans="1:4" x14ac:dyDescent="0.45">
      <c r="A29">
        <f t="shared" si="6"/>
        <v>0.79999999999999982</v>
      </c>
      <c r="B29">
        <f t="shared" si="2"/>
        <v>0.63999999999999968</v>
      </c>
    </row>
    <row r="30" spans="1:4" x14ac:dyDescent="0.45">
      <c r="A30">
        <f t="shared" si="6"/>
        <v>0.99999999999999978</v>
      </c>
      <c r="B30">
        <f t="shared" si="2"/>
        <v>0.99999999999999956</v>
      </c>
    </row>
    <row r="31" spans="1:4" x14ac:dyDescent="0.45">
      <c r="A31">
        <f t="shared" si="6"/>
        <v>1.1999999999999997</v>
      </c>
      <c r="B31">
        <f t="shared" si="2"/>
        <v>1.4399999999999993</v>
      </c>
    </row>
    <row r="32" spans="1:4" x14ac:dyDescent="0.45">
      <c r="A32">
        <f t="shared" si="6"/>
        <v>1.3999999999999997</v>
      </c>
      <c r="B32">
        <f t="shared" si="2"/>
        <v>1.9599999999999991</v>
      </c>
    </row>
    <row r="33" spans="1:4" x14ac:dyDescent="0.45">
      <c r="A33">
        <f t="shared" si="6"/>
        <v>1.5999999999999996</v>
      </c>
      <c r="B33">
        <f t="shared" si="2"/>
        <v>2.5599999999999987</v>
      </c>
    </row>
    <row r="34" spans="1:4" x14ac:dyDescent="0.45">
      <c r="A34">
        <f t="shared" si="6"/>
        <v>1.7999999999999996</v>
      </c>
      <c r="B34">
        <f>POWER(A34,2)</f>
        <v>3.2399999999999984</v>
      </c>
    </row>
    <row r="35" spans="1:4" x14ac:dyDescent="0.45">
      <c r="A35">
        <f t="shared" si="6"/>
        <v>1.9999999999999996</v>
      </c>
      <c r="B35">
        <f t="shared" si="2"/>
        <v>3.9999999999999982</v>
      </c>
    </row>
    <row r="36" spans="1:4" x14ac:dyDescent="0.45">
      <c r="A36">
        <f t="shared" si="6"/>
        <v>2.1999999999999997</v>
      </c>
      <c r="B36">
        <f t="shared" si="2"/>
        <v>4.839999999999999</v>
      </c>
    </row>
    <row r="37" spans="1:4" x14ac:dyDescent="0.45">
      <c r="A37">
        <f t="shared" si="6"/>
        <v>2.4</v>
      </c>
      <c r="B37">
        <f t="shared" si="2"/>
        <v>5.76</v>
      </c>
    </row>
    <row r="38" spans="1:4" x14ac:dyDescent="0.45">
      <c r="A38">
        <f t="shared" si="6"/>
        <v>2.6</v>
      </c>
      <c r="B38">
        <f t="shared" si="2"/>
        <v>6.7600000000000007</v>
      </c>
    </row>
    <row r="39" spans="1:4" x14ac:dyDescent="0.45">
      <c r="A39">
        <f t="shared" si="6"/>
        <v>2.8000000000000003</v>
      </c>
      <c r="B39">
        <f t="shared" si="2"/>
        <v>7.8400000000000016</v>
      </c>
    </row>
    <row r="40" spans="1:4" x14ac:dyDescent="0.45">
      <c r="A40">
        <f t="shared" si="6"/>
        <v>3.0000000000000004</v>
      </c>
      <c r="B40">
        <f t="shared" si="2"/>
        <v>9.0000000000000036</v>
      </c>
    </row>
    <row r="41" spans="1:4" x14ac:dyDescent="0.45">
      <c r="A41">
        <f t="shared" si="6"/>
        <v>3.2000000000000006</v>
      </c>
      <c r="B41">
        <f t="shared" si="2"/>
        <v>10.240000000000004</v>
      </c>
    </row>
    <row r="42" spans="1:4" x14ac:dyDescent="0.45">
      <c r="A42">
        <f t="shared" si="6"/>
        <v>3.4000000000000008</v>
      </c>
      <c r="B42">
        <f t="shared" si="2"/>
        <v>11.560000000000006</v>
      </c>
    </row>
    <row r="43" spans="1:4" x14ac:dyDescent="0.45">
      <c r="A43">
        <f t="shared" si="6"/>
        <v>3.600000000000001</v>
      </c>
      <c r="B43">
        <f t="shared" si="2"/>
        <v>12.960000000000006</v>
      </c>
    </row>
    <row r="44" spans="1:4" x14ac:dyDescent="0.45">
      <c r="A44">
        <f t="shared" si="6"/>
        <v>3.8000000000000012</v>
      </c>
      <c r="B44">
        <f>POWER(A44,2)</f>
        <v>14.440000000000008</v>
      </c>
    </row>
    <row r="45" spans="1:4" x14ac:dyDescent="0.45">
      <c r="A45">
        <f t="shared" si="6"/>
        <v>4.0000000000000009</v>
      </c>
      <c r="B45">
        <f t="shared" si="2"/>
        <v>16.000000000000007</v>
      </c>
    </row>
    <row r="46" spans="1:4" x14ac:dyDescent="0.45">
      <c r="A46">
        <f t="shared" si="6"/>
        <v>4.2000000000000011</v>
      </c>
      <c r="B46">
        <f t="shared" si="2"/>
        <v>17.640000000000008</v>
      </c>
    </row>
    <row r="47" spans="1:4" x14ac:dyDescent="0.45">
      <c r="A47">
        <f t="shared" si="6"/>
        <v>4.4000000000000012</v>
      </c>
      <c r="B47">
        <f t="shared" si="2"/>
        <v>19.36000000000001</v>
      </c>
    </row>
    <row r="48" spans="1:4" x14ac:dyDescent="0.45">
      <c r="A48">
        <v>3</v>
      </c>
      <c r="C48">
        <f>A48*A48</f>
        <v>9</v>
      </c>
      <c r="D48">
        <f>A48*2*$D$1</f>
        <v>0.60000000000000009</v>
      </c>
    </row>
    <row r="49" spans="1:4" x14ac:dyDescent="0.45">
      <c r="A49">
        <f>A48-D48</f>
        <v>2.4</v>
      </c>
      <c r="C49">
        <f t="shared" ref="C49:C57" si="7">A49*A49</f>
        <v>5.76</v>
      </c>
      <c r="D49">
        <f>A49*2*$D$1</f>
        <v>0.48</v>
      </c>
    </row>
    <row r="50" spans="1:4" x14ac:dyDescent="0.45">
      <c r="A50">
        <f>A49-D49</f>
        <v>1.92</v>
      </c>
      <c r="C50">
        <f t="shared" si="7"/>
        <v>3.6863999999999999</v>
      </c>
      <c r="D50">
        <f>A50*2*$D$1</f>
        <v>0.38400000000000001</v>
      </c>
    </row>
    <row r="51" spans="1:4" x14ac:dyDescent="0.45">
      <c r="A51">
        <f>A50-D50</f>
        <v>1.536</v>
      </c>
      <c r="C51">
        <f t="shared" si="7"/>
        <v>2.3592960000000001</v>
      </c>
      <c r="D51">
        <f>A51*2*$D$1</f>
        <v>0.30720000000000003</v>
      </c>
    </row>
    <row r="52" spans="1:4" x14ac:dyDescent="0.45">
      <c r="A52">
        <f>A51-D51</f>
        <v>1.2288000000000001</v>
      </c>
      <c r="C52">
        <f t="shared" si="7"/>
        <v>1.5099494400000002</v>
      </c>
      <c r="D52">
        <f>A52*2*$D$1</f>
        <v>0.24576000000000003</v>
      </c>
    </row>
    <row r="53" spans="1:4" x14ac:dyDescent="0.45">
      <c r="A53">
        <f>A52-D52</f>
        <v>0.98304000000000014</v>
      </c>
      <c r="C53">
        <f t="shared" si="7"/>
        <v>0.96636764160000022</v>
      </c>
      <c r="D53">
        <f>A53*2*$D$1</f>
        <v>0.19660800000000003</v>
      </c>
    </row>
    <row r="54" spans="1:4" x14ac:dyDescent="0.45">
      <c r="A54">
        <f>A53-D53</f>
        <v>0.78643200000000013</v>
      </c>
      <c r="C54">
        <f t="shared" si="7"/>
        <v>0.6184752906240002</v>
      </c>
      <c r="D54">
        <f>A54*2*$D$1</f>
        <v>0.15728640000000005</v>
      </c>
    </row>
    <row r="55" spans="1:4" x14ac:dyDescent="0.45">
      <c r="A55">
        <f>A54-D54</f>
        <v>0.62914560000000008</v>
      </c>
      <c r="C55">
        <f t="shared" si="7"/>
        <v>0.39582418599936009</v>
      </c>
      <c r="D55">
        <f>A55*2*$D$1</f>
        <v>0.12582912000000002</v>
      </c>
    </row>
    <row r="56" spans="1:4" x14ac:dyDescent="0.45">
      <c r="A56">
        <f>A55-D55</f>
        <v>0.50331648000000007</v>
      </c>
      <c r="C56">
        <f t="shared" si="7"/>
        <v>0.25332747903959046</v>
      </c>
      <c r="D56">
        <f>A56*2*$D$1</f>
        <v>0.10066329600000001</v>
      </c>
    </row>
    <row r="57" spans="1:4" x14ac:dyDescent="0.45">
      <c r="A57">
        <f>A56-D56</f>
        <v>0.40265318400000005</v>
      </c>
      <c r="C57">
        <f t="shared" si="7"/>
        <v>0.16212958658533791</v>
      </c>
      <c r="D57">
        <f>A57*2*$D$1</f>
        <v>8.0530636800000013E-2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2172-670C-4DE5-B55F-21D14E53C446}">
  <dimension ref="A2:Q9"/>
  <sheetViews>
    <sheetView tabSelected="1" zoomScaleNormal="100" workbookViewId="0">
      <selection activeCell="Q6" sqref="Q6"/>
    </sheetView>
  </sheetViews>
  <sheetFormatPr defaultRowHeight="14.25" x14ac:dyDescent="0.45"/>
  <cols>
    <col min="2" max="2" width="14.796875" customWidth="1"/>
  </cols>
  <sheetData>
    <row r="2" spans="1:17" x14ac:dyDescent="0.45">
      <c r="A2" t="s">
        <v>28</v>
      </c>
      <c r="B2" t="s">
        <v>30</v>
      </c>
      <c r="C2" t="s">
        <v>31</v>
      </c>
    </row>
    <row r="3" spans="1:17" x14ac:dyDescent="0.45">
      <c r="A3">
        <v>1</v>
      </c>
      <c r="B3">
        <f>A3*A3-2</f>
        <v>-1</v>
      </c>
      <c r="C3">
        <f>2*A3</f>
        <v>2</v>
      </c>
      <c r="D3">
        <f>A3-B3/C3</f>
        <v>1.5</v>
      </c>
    </row>
    <row r="4" spans="1:17" x14ac:dyDescent="0.45">
      <c r="A4">
        <f>D3</f>
        <v>1.5</v>
      </c>
      <c r="B4">
        <f>A4*A4-2</f>
        <v>0.25</v>
      </c>
      <c r="C4">
        <f>2*A4</f>
        <v>3</v>
      </c>
      <c r="D4">
        <f>A4-B4/C4</f>
        <v>1.4166666666666667</v>
      </c>
    </row>
    <row r="5" spans="1:17" x14ac:dyDescent="0.45">
      <c r="A5">
        <f>D4</f>
        <v>1.4166666666666667</v>
      </c>
      <c r="B5">
        <f t="shared" ref="B5:B24" si="0">A5*A5-2</f>
        <v>6.9444444444446418E-3</v>
      </c>
      <c r="C5">
        <f t="shared" ref="C5:C9" si="1">2*A5</f>
        <v>2.8333333333333335</v>
      </c>
      <c r="D5">
        <f t="shared" ref="D5:D9" si="2">A5-B5/C5</f>
        <v>1.4142156862745099</v>
      </c>
      <c r="O5" t="s">
        <v>32</v>
      </c>
      <c r="Q5" t="s">
        <v>36</v>
      </c>
    </row>
    <row r="6" spans="1:17" x14ac:dyDescent="0.45">
      <c r="A6">
        <f t="shared" ref="A6:A9" si="3">D5</f>
        <v>1.4142156862745099</v>
      </c>
      <c r="B6">
        <f t="shared" si="0"/>
        <v>6.0073048828712672E-6</v>
      </c>
      <c r="C6">
        <f t="shared" si="1"/>
        <v>2.8284313725490198</v>
      </c>
      <c r="D6">
        <f t="shared" si="2"/>
        <v>1.4142135623746899</v>
      </c>
      <c r="O6" t="s">
        <v>33</v>
      </c>
    </row>
    <row r="7" spans="1:17" x14ac:dyDescent="0.45">
      <c r="A7">
        <f t="shared" ref="A7:A9" si="4">D6</f>
        <v>1.4142135623746899</v>
      </c>
      <c r="B7">
        <f t="shared" si="0"/>
        <v>4.510614104447086E-12</v>
      </c>
      <c r="C7">
        <f t="shared" ref="C7:C13" si="5">2*A7</f>
        <v>2.8284271247493797</v>
      </c>
      <c r="D7">
        <f t="shared" ref="D7:D13" si="6">A7-B7/C7</f>
        <v>1.4142135623730951</v>
      </c>
      <c r="O7" t="s">
        <v>34</v>
      </c>
    </row>
    <row r="8" spans="1:17" x14ac:dyDescent="0.45">
      <c r="A8">
        <f t="shared" si="4"/>
        <v>1.4142135623730951</v>
      </c>
      <c r="B8">
        <f t="shared" si="0"/>
        <v>0</v>
      </c>
      <c r="C8">
        <f t="shared" si="5"/>
        <v>2.8284271247461903</v>
      </c>
      <c r="D8">
        <f t="shared" si="6"/>
        <v>1.4142135623730951</v>
      </c>
      <c r="O8" t="s">
        <v>35</v>
      </c>
    </row>
    <row r="9" spans="1:17" x14ac:dyDescent="0.45">
      <c r="A9">
        <f t="shared" si="4"/>
        <v>1.4142135623730951</v>
      </c>
      <c r="B9">
        <f t="shared" si="0"/>
        <v>0</v>
      </c>
      <c r="C9">
        <f t="shared" si="5"/>
        <v>2.8284271247461903</v>
      </c>
      <c r="D9">
        <f t="shared" si="6"/>
        <v>1.4142135623730951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7922-8F24-470B-83BE-308156E5D11C}">
  <dimension ref="A2:D9"/>
  <sheetViews>
    <sheetView workbookViewId="0">
      <selection activeCell="E19" sqref="E19"/>
    </sheetView>
  </sheetViews>
  <sheetFormatPr defaultRowHeight="14.25" x14ac:dyDescent="0.45"/>
  <sheetData>
    <row r="2" spans="1:4" x14ac:dyDescent="0.45">
      <c r="A2" t="s">
        <v>28</v>
      </c>
      <c r="B2" t="s">
        <v>30</v>
      </c>
      <c r="C2" t="s">
        <v>31</v>
      </c>
    </row>
    <row r="3" spans="1:4" x14ac:dyDescent="0.45">
      <c r="A3">
        <v>1</v>
      </c>
      <c r="B3">
        <f>A3*A3-2</f>
        <v>-1</v>
      </c>
      <c r="C3">
        <f>2*A3</f>
        <v>2</v>
      </c>
      <c r="D3">
        <f>A3-B3/C3</f>
        <v>1.5</v>
      </c>
    </row>
    <row r="4" spans="1:4" x14ac:dyDescent="0.45">
      <c r="A4">
        <f>D3</f>
        <v>1.5</v>
      </c>
      <c r="B4">
        <f>A4*A4-2</f>
        <v>0.25</v>
      </c>
      <c r="C4">
        <f>2*A4</f>
        <v>3</v>
      </c>
      <c r="D4">
        <f>A4-B4/C4</f>
        <v>1.4166666666666667</v>
      </c>
    </row>
    <row r="5" spans="1:4" x14ac:dyDescent="0.45">
      <c r="A5">
        <f>D4</f>
        <v>1.4166666666666667</v>
      </c>
      <c r="B5">
        <f t="shared" ref="B5:B9" si="0">A5*A5-2</f>
        <v>6.9444444444446418E-3</v>
      </c>
      <c r="C5">
        <f t="shared" ref="C5:C9" si="1">2*A5</f>
        <v>2.8333333333333335</v>
      </c>
      <c r="D5">
        <f t="shared" ref="D5:D9" si="2">A5-B5/C5</f>
        <v>1.4142156862745099</v>
      </c>
    </row>
    <row r="6" spans="1:4" x14ac:dyDescent="0.45">
      <c r="A6">
        <f t="shared" ref="A6:A9" si="3">D5</f>
        <v>1.4142156862745099</v>
      </c>
      <c r="B6">
        <f t="shared" si="0"/>
        <v>6.0073048828712672E-6</v>
      </c>
      <c r="C6">
        <f t="shared" si="1"/>
        <v>2.8284313725490198</v>
      </c>
      <c r="D6">
        <f t="shared" si="2"/>
        <v>1.4142135623746899</v>
      </c>
    </row>
    <row r="7" spans="1:4" x14ac:dyDescent="0.45">
      <c r="A7">
        <f t="shared" si="3"/>
        <v>1.4142135623746899</v>
      </c>
      <c r="B7">
        <f t="shared" si="0"/>
        <v>4.510614104447086E-12</v>
      </c>
      <c r="C7">
        <f t="shared" si="1"/>
        <v>2.8284271247493797</v>
      </c>
      <c r="D7">
        <f t="shared" si="2"/>
        <v>1.4142135623730951</v>
      </c>
    </row>
    <row r="8" spans="1:4" x14ac:dyDescent="0.45">
      <c r="A8">
        <f t="shared" si="3"/>
        <v>1.4142135623730951</v>
      </c>
      <c r="B8">
        <f t="shared" si="0"/>
        <v>0</v>
      </c>
      <c r="C8">
        <f t="shared" si="1"/>
        <v>2.8284271247461903</v>
      </c>
      <c r="D8">
        <f t="shared" si="2"/>
        <v>1.4142135623730951</v>
      </c>
    </row>
    <row r="9" spans="1:4" x14ac:dyDescent="0.45">
      <c r="A9">
        <f t="shared" si="3"/>
        <v>1.4142135623730951</v>
      </c>
      <c r="B9">
        <f t="shared" si="0"/>
        <v>0</v>
      </c>
      <c r="C9">
        <f t="shared" si="1"/>
        <v>2.8284271247461903</v>
      </c>
      <c r="D9">
        <f t="shared" si="2"/>
        <v>1.4142135623730951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Gaussian Elimination</vt:lpstr>
      <vt:lpstr>Matrix Inverse</vt:lpstr>
      <vt:lpstr>Solution of Equation</vt:lpstr>
      <vt:lpstr>Gradient Descent</vt:lpstr>
      <vt:lpstr>Newton Optimization Method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reiyonna reuben</dc:creator>
  <cp:lastModifiedBy>reiyonna reuben</cp:lastModifiedBy>
  <dcterms:created xsi:type="dcterms:W3CDTF">2023-09-26T04:19:51Z</dcterms:created>
  <dcterms:modified xsi:type="dcterms:W3CDTF">2023-10-03T05:56:10Z</dcterms:modified>
</cp:coreProperties>
</file>